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SV FILES\"/>
    </mc:Choice>
  </mc:AlternateContent>
  <xr:revisionPtr revIDLastSave="0" documentId="8_{542C938E-51CE-4B6A-8634-FB62E0B87216}" xr6:coauthVersionLast="47" xr6:coauthVersionMax="47" xr10:uidLastSave="{00000000-0000-0000-0000-000000000000}"/>
  <bookViews>
    <workbookView xWindow="0" yWindow="0" windowWidth="28800" windowHeight="15885" activeTab="1" xr2:uid="{D8EAF4E5-90EA-49A2-9561-436B8D07EA65}"/>
  </bookViews>
  <sheets>
    <sheet name="Stats Input" sheetId="1" r:id="rId1"/>
    <sheet name="Summary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G3" i="2"/>
  <c r="I9" i="1"/>
  <c r="I10" i="1"/>
  <c r="I11" i="1"/>
  <c r="I12" i="1"/>
  <c r="I13" i="1"/>
  <c r="I14" i="1"/>
  <c r="J14" i="1" s="1"/>
  <c r="I15" i="1"/>
  <c r="J15" i="1" s="1"/>
  <c r="I16" i="1"/>
  <c r="I17" i="1"/>
  <c r="I4" i="1"/>
  <c r="I5" i="1"/>
  <c r="I6" i="1"/>
  <c r="I7" i="1"/>
  <c r="I8" i="1"/>
  <c r="I3" i="1"/>
  <c r="T4" i="1"/>
  <c r="T5" i="1"/>
  <c r="T6" i="1"/>
  <c r="T7" i="1"/>
  <c r="T8" i="1"/>
  <c r="Q9" i="1"/>
  <c r="Q10" i="1"/>
  <c r="Q11" i="1"/>
  <c r="Q12" i="1"/>
  <c r="Q13" i="1"/>
  <c r="Q14" i="1"/>
  <c r="Q15" i="1"/>
  <c r="Q16" i="1"/>
  <c r="Q17" i="1"/>
  <c r="M4" i="1"/>
  <c r="M5" i="1"/>
  <c r="M6" i="1"/>
  <c r="M7" i="1"/>
  <c r="M8" i="1"/>
  <c r="J9" i="1"/>
  <c r="J10" i="1"/>
  <c r="J11" i="1"/>
  <c r="J12" i="1"/>
  <c r="J13" i="1"/>
  <c r="J16" i="1"/>
  <c r="J17" i="1"/>
  <c r="E3" i="2"/>
  <c r="D3" i="2"/>
  <c r="C3" i="2"/>
  <c r="B3" i="2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M44" i="1"/>
  <c r="M18" i="1"/>
  <c r="M19" i="1"/>
  <c r="M20" i="1"/>
  <c r="M21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T3" i="1"/>
  <c r="H3" i="2" s="1"/>
  <c r="M3" i="1"/>
  <c r="F3" i="2" s="1"/>
</calcChain>
</file>

<file path=xl/sharedStrings.xml><?xml version="1.0" encoding="utf-8"?>
<sst xmlns="http://schemas.openxmlformats.org/spreadsheetml/2006/main" count="65" uniqueCount="48">
  <si>
    <t xml:space="preserve">Match </t>
  </si>
  <si>
    <t>Set</t>
  </si>
  <si>
    <t>Player</t>
  </si>
  <si>
    <t>Aces</t>
  </si>
  <si>
    <t>Serve errors</t>
  </si>
  <si>
    <t>Pass Attempts</t>
  </si>
  <si>
    <t>Perfect Passes</t>
  </si>
  <si>
    <t>Serves</t>
  </si>
  <si>
    <t>Hit Attempts</t>
  </si>
  <si>
    <t>Kills</t>
  </si>
  <si>
    <t>Hit Errors</t>
  </si>
  <si>
    <t>Hit Efficiency</t>
  </si>
  <si>
    <t>Set Attempts</t>
  </si>
  <si>
    <t>Assists</t>
  </si>
  <si>
    <t>Block Attempts</t>
  </si>
  <si>
    <t>Blocks</t>
  </si>
  <si>
    <t>Digs</t>
  </si>
  <si>
    <t>Block Errors</t>
  </si>
  <si>
    <t>Serve Efficiency</t>
  </si>
  <si>
    <t>P2</t>
  </si>
  <si>
    <t>P3</t>
  </si>
  <si>
    <t>P1</t>
  </si>
  <si>
    <t>P4</t>
  </si>
  <si>
    <t>P5</t>
  </si>
  <si>
    <t>P6</t>
  </si>
  <si>
    <t>Total Kills</t>
  </si>
  <si>
    <t>Total Aces</t>
  </si>
  <si>
    <t>Total Digs</t>
  </si>
  <si>
    <t>Total Blocks</t>
  </si>
  <si>
    <t>Avg Serve Efficiency</t>
  </si>
  <si>
    <t>Avg Hit Effiency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</si>
  <si>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</si>
  <si>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</si>
  <si>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</si>
  <si>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</si>
  <si>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</si>
  <si>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</si>
  <si>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</si>
  <si>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</si>
  <si>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</si>
  <si>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 xml:space="preserve">     Hit Efficiency = Kills - Errors / Attempts</t>
  </si>
  <si>
    <t>Pass Percentage</t>
  </si>
  <si>
    <t>Don’t change functions. Just change players and numbers. Everything will change accordingly.</t>
  </si>
  <si>
    <t>Avg Pass Percentage</t>
  </si>
  <si>
    <t xml:space="preserve">    Pass Percentage = Perfect Passes / Pass Attempts</t>
  </si>
  <si>
    <t xml:space="preserve">    Serve Efficiency = Serves - Errors / Serves</t>
  </si>
  <si>
    <t>^^^Sample Numbers above. ^^^</t>
  </si>
  <si>
    <t>Volleyball Stats Tracker by Triet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</si>
</sst>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5" borderId="2" xfId="0" applyFont="1" applyFill="1" applyBorder="1"/>
    <xf numFmtId="0" fontId="0" fillId="5" borderId="1" xfId="0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18" borderId="1" xfId="0" applyFill="1" applyBorder="1" applyAlignment="1">
      <alignment horizontal="center"/>
    </xf>
    <xf numFmtId="9" fontId="0" fillId="18" borderId="1" xfId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/>
    <xf numFmtId="0" fontId="0" fillId="5" borderId="0" xfId="0" applyFill="1" applyAlignment="1">
      <alignment horizontal="center"/>
    </xf>
    <xf numFmtId="0" fontId="3" fillId="2" borderId="1" xfId="0" applyFont="1" applyFill="1" applyBorder="1" applyAlignment="1"/>
    <xf numFmtId="0" fontId="3" fillId="2" borderId="3" xfId="0" applyFont="1" applyFill="1" applyBorder="1" applyAlignment="1"/>
    <xf numFmtId="0" fontId="2" fillId="2" borderId="4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Kills By Players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Summary!$B$2</c:f>
              <c:strCache>
                <c:ptCount val="1"/>
                <c:pt idx="0">
                  <c:v>Total Kills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Summary!$A$3:$A$8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Summary!$B$3:$B$8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12</c:v>
                </c:pt>
                <c:pt idx="3">
                  <c:v>3</c:v>
                </c:pt>
                <c:pt idx="4">
                  <c:v>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7-4565-B5F5-7F87487AF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98008928"/>
        <c:axId val="1698003168"/>
        <c:axId val="0"/>
      </c:bar3DChart>
      <c:catAx>
        <c:axId val="1698008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03168"/>
        <c:crosses val="autoZero"/>
        <c:auto val="1"/>
        <c:lblAlgn val="ctr"/>
        <c:lblOffset val="100"/>
        <c:noMultiLvlLbl val="0"/>
      </c:catAx>
      <c:valAx>
        <c:axId val="169800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0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Hit Efficiency</a:t>
            </a:r>
            <a:r>
              <a:rPr lang="en-US" baseline="0"/>
              <a:t> by Player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Summary!$F$2</c:f>
              <c:strCache>
                <c:ptCount val="1"/>
                <c:pt idx="0">
                  <c:v>Avg Hit Effiency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Summary!$A$3:$A$8</c:f>
              <c:strCache>
                <c:ptCount val="6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</c:strCache>
            </c:strRef>
          </c:cat>
          <c:val>
            <c:numRef>
              <c:f>Summary!$F$3:$F$8</c:f>
              <c:numCache>
                <c:formatCode>0%</c:formatCode>
                <c:ptCount val="6"/>
                <c:pt idx="0">
                  <c:v>0.4</c:v>
                </c:pt>
                <c:pt idx="1">
                  <c:v>0.1</c:v>
                </c:pt>
                <c:pt idx="2">
                  <c:v>0.5</c:v>
                </c:pt>
                <c:pt idx="3">
                  <c:v>0.25</c:v>
                </c:pt>
                <c:pt idx="4">
                  <c:v>0.33333333333333331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2-4494-A267-4D2299C11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031968"/>
        <c:axId val="1698028608"/>
      </c:barChart>
      <c:catAx>
        <c:axId val="1698031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28608"/>
        <c:crosses val="autoZero"/>
        <c:auto val="1"/>
        <c:lblAlgn val="ctr"/>
        <c:lblOffset val="100"/>
        <c:noMultiLvlLbl val="0"/>
      </c:catAx>
      <c:valAx>
        <c:axId val="169802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3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4761</xdr:rowOff>
    </xdr:from>
    <xdr:to>
      <xdr:col>8</xdr:col>
      <xdr:colOff>0</xdr:colOff>
      <xdr:row>40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948FB1-A6B8-C590-6801-396444A5E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</xdr:colOff>
      <xdr:row>18</xdr:row>
      <xdr:rowOff>4761</xdr:rowOff>
    </xdr:from>
    <xdr:to>
      <xdr:col>17</xdr:col>
      <xdr:colOff>0</xdr:colOff>
      <xdr:row>40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6A2849-85B4-0DF8-EF5A-7D6FF8939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B892-7241-4CB1-9701-7EE3C5DE0E70}">
  <dimension ref="A1:T44"/>
  <sheetViews>
    <sheetView workbookViewId="0">
      <selection activeCell="H31" sqref="H31"/>
    </sheetView>
  </sheetViews>
  <sheetFormatPr defaultRowHeight="15" x14ac:dyDescent="0.25"/>
  <cols>
    <col min="1" max="1" width="6.85546875" bestFit="1" customWidth="1"/>
    <col min="2" max="2" width="4" bestFit="1" customWidth="1"/>
    <col min="3" max="3" width="6.5703125" bestFit="1" customWidth="1"/>
    <col min="4" max="4" width="7.140625" bestFit="1" customWidth="1"/>
    <col min="5" max="5" width="5.28515625" bestFit="1" customWidth="1"/>
    <col min="6" max="6" width="12" bestFit="1" customWidth="1"/>
    <col min="7" max="8" width="14.42578125" bestFit="1" customWidth="1"/>
    <col min="9" max="9" width="15.85546875" bestFit="1" customWidth="1"/>
    <col min="10" max="10" width="12.42578125" bestFit="1" customWidth="1"/>
    <col min="11" max="11" width="4.85546875" bestFit="1" customWidth="1"/>
    <col min="12" max="12" width="9.5703125" bestFit="1" customWidth="1"/>
    <col min="13" max="13" width="13.28515625" bestFit="1" customWidth="1"/>
    <col min="14" max="14" width="12.7109375" bestFit="1" customWidth="1"/>
    <col min="15" max="15" width="7.42578125" bestFit="1" customWidth="1"/>
    <col min="16" max="16" width="14.7109375" bestFit="1" customWidth="1"/>
    <col min="17" max="17" width="6.85546875" bestFit="1" customWidth="1"/>
    <col min="18" max="18" width="11.7109375" bestFit="1" customWidth="1"/>
    <col min="19" max="19" width="5" bestFit="1" customWidth="1"/>
    <col min="20" max="20" width="15.7109375" bestFit="1" customWidth="1"/>
  </cols>
  <sheetData>
    <row r="1" spans="1:20" ht="21.75" thickBot="1" x14ac:dyDescent="0.4">
      <c r="A1" s="40" t="s">
        <v>47</v>
      </c>
      <c r="B1" s="40"/>
      <c r="C1" s="40"/>
      <c r="D1" s="40"/>
      <c r="E1" s="40"/>
      <c r="F1" s="41"/>
      <c r="G1" s="42"/>
    </row>
    <row r="2" spans="1:20" x14ac:dyDescent="0.25">
      <c r="A2" s="32" t="s">
        <v>0</v>
      </c>
      <c r="B2" s="11" t="s">
        <v>1</v>
      </c>
      <c r="C2" s="11" t="s">
        <v>2</v>
      </c>
      <c r="D2" s="11" t="s">
        <v>7</v>
      </c>
      <c r="E2" s="11" t="s">
        <v>3</v>
      </c>
      <c r="F2" s="11" t="s">
        <v>4</v>
      </c>
      <c r="G2" s="11" t="s">
        <v>5</v>
      </c>
      <c r="H2" s="10" t="s">
        <v>6</v>
      </c>
      <c r="I2" s="10" t="s">
        <v>41</v>
      </c>
      <c r="J2" s="10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17</v>
      </c>
      <c r="S2" s="33" t="s">
        <v>16</v>
      </c>
      <c r="T2" s="13" t="s">
        <v>18</v>
      </c>
    </row>
    <row r="3" spans="1:20" x14ac:dyDescent="0.25">
      <c r="A3" s="18">
        <v>1</v>
      </c>
      <c r="B3" s="18">
        <v>1</v>
      </c>
      <c r="C3" s="17" t="s">
        <v>21</v>
      </c>
      <c r="D3" s="18">
        <v>5</v>
      </c>
      <c r="E3" s="18">
        <v>1</v>
      </c>
      <c r="F3" s="18">
        <v>0</v>
      </c>
      <c r="G3" s="18">
        <v>10</v>
      </c>
      <c r="H3" s="18">
        <v>7</v>
      </c>
      <c r="I3" s="19">
        <f>IFERROR(H3/G3,"")</f>
        <v>0.7</v>
      </c>
      <c r="J3" s="18">
        <v>15</v>
      </c>
      <c r="K3" s="18">
        <v>8</v>
      </c>
      <c r="L3" s="18">
        <v>2</v>
      </c>
      <c r="M3" s="19">
        <f>IFERROR((K3-L3)/J3,"")</f>
        <v>0.4</v>
      </c>
      <c r="N3" s="18">
        <v>3</v>
      </c>
      <c r="O3" s="18">
        <v>5</v>
      </c>
      <c r="P3" s="18">
        <v>12</v>
      </c>
      <c r="Q3" s="18">
        <v>4</v>
      </c>
      <c r="R3" s="18">
        <v>7</v>
      </c>
      <c r="S3" s="18">
        <v>2</v>
      </c>
      <c r="T3" s="19">
        <f>IFERROR((D3-F3)/D3,"")</f>
        <v>1</v>
      </c>
    </row>
    <row r="4" spans="1:20" x14ac:dyDescent="0.25">
      <c r="A4" s="18">
        <v>1</v>
      </c>
      <c r="B4" s="18">
        <v>1</v>
      </c>
      <c r="C4" s="7" t="s">
        <v>19</v>
      </c>
      <c r="D4" s="18">
        <v>5</v>
      </c>
      <c r="E4" s="18">
        <v>1</v>
      </c>
      <c r="F4" s="18">
        <v>0</v>
      </c>
      <c r="G4" s="18">
        <v>8</v>
      </c>
      <c r="H4" s="18">
        <v>5</v>
      </c>
      <c r="I4" s="19">
        <f t="shared" ref="I4:I17" si="0">IFERROR(H4/G4,"")</f>
        <v>0.625</v>
      </c>
      <c r="J4" s="18">
        <v>10</v>
      </c>
      <c r="K4" s="18">
        <v>4</v>
      </c>
      <c r="L4" s="18">
        <v>3</v>
      </c>
      <c r="M4" s="19">
        <f t="shared" ref="J4:M17" si="1">IFERROR((K4-L4)/J4,"")</f>
        <v>0.1</v>
      </c>
      <c r="N4" s="18">
        <v>20</v>
      </c>
      <c r="O4" s="18">
        <v>17</v>
      </c>
      <c r="P4" s="18">
        <v>17</v>
      </c>
      <c r="Q4" s="18">
        <v>3</v>
      </c>
      <c r="R4" s="18">
        <v>14</v>
      </c>
      <c r="S4" s="18">
        <v>4</v>
      </c>
      <c r="T4" s="19">
        <f t="shared" ref="T4:T8" si="2">IFERROR((D4-F4)/D4,"")</f>
        <v>1</v>
      </c>
    </row>
    <row r="5" spans="1:20" x14ac:dyDescent="0.25">
      <c r="A5" s="18">
        <v>1</v>
      </c>
      <c r="B5" s="18">
        <v>1</v>
      </c>
      <c r="C5" s="3" t="s">
        <v>20</v>
      </c>
      <c r="D5" s="18">
        <v>5</v>
      </c>
      <c r="E5" s="18">
        <v>1</v>
      </c>
      <c r="F5" s="18">
        <v>0</v>
      </c>
      <c r="G5" s="18">
        <v>12</v>
      </c>
      <c r="H5" s="18">
        <v>9</v>
      </c>
      <c r="I5" s="19">
        <f t="shared" si="0"/>
        <v>0.75</v>
      </c>
      <c r="J5" s="18">
        <v>20</v>
      </c>
      <c r="K5" s="18">
        <v>12</v>
      </c>
      <c r="L5" s="18">
        <v>2</v>
      </c>
      <c r="M5" s="19">
        <f t="shared" si="1"/>
        <v>0.5</v>
      </c>
      <c r="N5" s="18">
        <v>4</v>
      </c>
      <c r="O5" s="18">
        <v>13</v>
      </c>
      <c r="P5" s="18">
        <v>4</v>
      </c>
      <c r="Q5" s="18">
        <v>1</v>
      </c>
      <c r="R5" s="18">
        <v>3</v>
      </c>
      <c r="S5" s="18">
        <v>2</v>
      </c>
      <c r="T5" s="19">
        <f t="shared" si="2"/>
        <v>1</v>
      </c>
    </row>
    <row r="6" spans="1:20" x14ac:dyDescent="0.25">
      <c r="A6" s="18">
        <v>1</v>
      </c>
      <c r="B6" s="18">
        <v>1</v>
      </c>
      <c r="C6" s="20" t="s">
        <v>22</v>
      </c>
      <c r="D6" s="18">
        <v>5</v>
      </c>
      <c r="E6" s="18">
        <v>1</v>
      </c>
      <c r="F6" s="18">
        <v>0</v>
      </c>
      <c r="G6" s="18">
        <v>6</v>
      </c>
      <c r="H6" s="18">
        <v>3</v>
      </c>
      <c r="I6" s="19">
        <f t="shared" si="0"/>
        <v>0.5</v>
      </c>
      <c r="J6" s="18">
        <v>8</v>
      </c>
      <c r="K6" s="18">
        <v>3</v>
      </c>
      <c r="L6" s="18">
        <v>1</v>
      </c>
      <c r="M6" s="19">
        <f t="shared" si="1"/>
        <v>0.25</v>
      </c>
      <c r="N6" s="18">
        <v>1</v>
      </c>
      <c r="O6" s="18">
        <v>3</v>
      </c>
      <c r="P6" s="18">
        <v>3</v>
      </c>
      <c r="Q6" s="18">
        <v>1</v>
      </c>
      <c r="R6" s="18">
        <v>2</v>
      </c>
      <c r="S6" s="18">
        <v>1</v>
      </c>
      <c r="T6" s="19">
        <f t="shared" si="2"/>
        <v>1</v>
      </c>
    </row>
    <row r="7" spans="1:20" x14ac:dyDescent="0.25">
      <c r="A7" s="18">
        <v>1</v>
      </c>
      <c r="B7" s="18">
        <v>1</v>
      </c>
      <c r="C7" s="21" t="s">
        <v>23</v>
      </c>
      <c r="D7" s="18">
        <v>5</v>
      </c>
      <c r="E7" s="18">
        <v>1</v>
      </c>
      <c r="F7" s="18">
        <v>0</v>
      </c>
      <c r="G7" s="18">
        <v>9</v>
      </c>
      <c r="H7" s="18">
        <v>6</v>
      </c>
      <c r="I7" s="19">
        <f t="shared" si="0"/>
        <v>0.66666666666666663</v>
      </c>
      <c r="J7" s="18">
        <v>12</v>
      </c>
      <c r="K7" s="18">
        <v>6</v>
      </c>
      <c r="L7" s="18">
        <v>2</v>
      </c>
      <c r="M7" s="19">
        <f t="shared" si="1"/>
        <v>0.33333333333333331</v>
      </c>
      <c r="N7" s="18">
        <v>3</v>
      </c>
      <c r="O7" s="18">
        <v>5</v>
      </c>
      <c r="P7" s="18">
        <v>5</v>
      </c>
      <c r="Q7" s="18">
        <v>1</v>
      </c>
      <c r="R7" s="18">
        <v>4</v>
      </c>
      <c r="S7" s="18">
        <v>5</v>
      </c>
      <c r="T7" s="19">
        <f t="shared" si="2"/>
        <v>1</v>
      </c>
    </row>
    <row r="8" spans="1:20" x14ac:dyDescent="0.25">
      <c r="A8" s="18">
        <v>1</v>
      </c>
      <c r="B8" s="18">
        <v>1</v>
      </c>
      <c r="C8" s="22" t="s">
        <v>24</v>
      </c>
      <c r="D8" s="18">
        <v>5</v>
      </c>
      <c r="E8" s="18">
        <v>1</v>
      </c>
      <c r="F8" s="18">
        <v>0</v>
      </c>
      <c r="G8" s="18">
        <v>7</v>
      </c>
      <c r="H8" s="18">
        <v>4</v>
      </c>
      <c r="I8" s="19">
        <f t="shared" si="0"/>
        <v>0.5714285714285714</v>
      </c>
      <c r="J8" s="18">
        <v>10</v>
      </c>
      <c r="K8" s="18">
        <v>4</v>
      </c>
      <c r="L8" s="18">
        <v>3</v>
      </c>
      <c r="M8" s="19">
        <f t="shared" si="1"/>
        <v>0.1</v>
      </c>
      <c r="N8" s="18">
        <v>8</v>
      </c>
      <c r="O8" s="18">
        <v>5</v>
      </c>
      <c r="P8" s="18">
        <v>9</v>
      </c>
      <c r="Q8" s="18">
        <v>2</v>
      </c>
      <c r="R8" s="18">
        <v>7</v>
      </c>
      <c r="S8" s="18">
        <v>2</v>
      </c>
      <c r="T8" s="19">
        <f t="shared" si="2"/>
        <v>1</v>
      </c>
    </row>
    <row r="9" spans="1:20" x14ac:dyDescent="0.25">
      <c r="A9" s="18">
        <v>1</v>
      </c>
      <c r="B9" s="18">
        <v>1</v>
      </c>
      <c r="C9" s="23" t="s">
        <v>31</v>
      </c>
      <c r="D9" s="18"/>
      <c r="E9" s="18"/>
      <c r="F9" s="18"/>
      <c r="G9" s="18"/>
      <c r="H9" s="18"/>
      <c r="I9" s="19" t="str">
        <f t="shared" si="0"/>
        <v/>
      </c>
      <c r="J9" s="19" t="str">
        <f t="shared" si="1"/>
        <v/>
      </c>
      <c r="K9" s="18"/>
      <c r="L9" s="18"/>
      <c r="M9" s="18"/>
      <c r="N9" s="18"/>
      <c r="O9" s="18"/>
      <c r="P9" s="18"/>
      <c r="Q9" s="19" t="str">
        <f>IFERROR((#REF!-#REF!)/#REF!,"")</f>
        <v/>
      </c>
      <c r="R9" s="34"/>
      <c r="S9" s="34"/>
      <c r="T9" s="34"/>
    </row>
    <row r="10" spans="1:20" x14ac:dyDescent="0.25">
      <c r="A10" s="18">
        <v>1</v>
      </c>
      <c r="B10" s="18">
        <v>1</v>
      </c>
      <c r="C10" s="24" t="s">
        <v>32</v>
      </c>
      <c r="D10" s="18"/>
      <c r="E10" s="18"/>
      <c r="F10" s="18"/>
      <c r="G10" s="18"/>
      <c r="H10" s="18"/>
      <c r="I10" s="19" t="str">
        <f t="shared" si="0"/>
        <v/>
      </c>
      <c r="J10" s="19" t="str">
        <f t="shared" si="1"/>
        <v/>
      </c>
      <c r="K10" s="18"/>
      <c r="L10" s="18"/>
      <c r="M10" s="18"/>
      <c r="N10" s="18"/>
      <c r="O10" s="18"/>
      <c r="P10" s="18"/>
      <c r="Q10" s="19" t="str">
        <f>IFERROR((#REF!-#REF!)/#REF!,"")</f>
        <v/>
      </c>
      <c r="R10" s="34"/>
      <c r="S10" s="34"/>
      <c r="T10" s="34"/>
    </row>
    <row r="11" spans="1:20" x14ac:dyDescent="0.25">
      <c r="A11" s="18">
        <v>1</v>
      </c>
      <c r="B11" s="18">
        <v>1</v>
      </c>
      <c r="C11" s="25" t="s">
        <v>33</v>
      </c>
      <c r="D11" s="18"/>
      <c r="E11" s="18"/>
      <c r="F11" s="18"/>
      <c r="G11" s="18"/>
      <c r="H11" s="18"/>
      <c r="I11" s="19" t="str">
        <f t="shared" si="0"/>
        <v/>
      </c>
      <c r="J11" s="19" t="str">
        <f t="shared" si="1"/>
        <v/>
      </c>
      <c r="K11" s="18"/>
      <c r="L11" s="18"/>
      <c r="M11" s="18"/>
      <c r="N11" s="18"/>
      <c r="O11" s="18"/>
      <c r="P11" s="18"/>
      <c r="Q11" s="19" t="str">
        <f>IFERROR((#REF!-#REF!)/#REF!,"")</f>
        <v/>
      </c>
      <c r="R11" s="34"/>
      <c r="S11" s="34"/>
      <c r="T11" s="34"/>
    </row>
    <row r="12" spans="1:20" x14ac:dyDescent="0.25">
      <c r="A12" s="18">
        <v>1</v>
      </c>
      <c r="B12" s="18">
        <v>1</v>
      </c>
      <c r="C12" s="26" t="s">
        <v>34</v>
      </c>
      <c r="D12" s="18"/>
      <c r="E12" s="18"/>
      <c r="F12" s="18"/>
      <c r="G12" s="18"/>
      <c r="H12" s="18"/>
      <c r="I12" s="19" t="str">
        <f t="shared" si="0"/>
        <v/>
      </c>
      <c r="J12" s="19" t="str">
        <f t="shared" si="1"/>
        <v/>
      </c>
      <c r="K12" s="18"/>
      <c r="L12" s="18"/>
      <c r="M12" s="18"/>
      <c r="N12" s="18"/>
      <c r="O12" s="18"/>
      <c r="P12" s="18"/>
      <c r="Q12" s="19" t="str">
        <f>IFERROR((#REF!-#REF!)/#REF!,"")</f>
        <v/>
      </c>
      <c r="R12" s="34"/>
      <c r="S12" s="34"/>
      <c r="T12" s="34"/>
    </row>
    <row r="13" spans="1:20" x14ac:dyDescent="0.25">
      <c r="A13" s="18">
        <v>1</v>
      </c>
      <c r="B13" s="18">
        <v>1</v>
      </c>
      <c r="C13" s="27" t="s">
        <v>35</v>
      </c>
      <c r="D13" s="18"/>
      <c r="E13" s="18"/>
      <c r="F13" s="18"/>
      <c r="G13" s="18"/>
      <c r="H13" s="18"/>
      <c r="I13" s="19" t="str">
        <f t="shared" si="0"/>
        <v/>
      </c>
      <c r="J13" s="19" t="str">
        <f t="shared" si="1"/>
        <v/>
      </c>
      <c r="K13" s="18"/>
      <c r="L13" s="18"/>
      <c r="M13" s="18"/>
      <c r="N13" s="18"/>
      <c r="O13" s="18"/>
      <c r="P13" s="18"/>
      <c r="Q13" s="19" t="str">
        <f>IFERROR((#REF!-#REF!)/#REF!,"")</f>
        <v/>
      </c>
      <c r="R13" s="34"/>
      <c r="S13" s="34"/>
      <c r="T13" s="34"/>
    </row>
    <row r="14" spans="1:20" x14ac:dyDescent="0.25">
      <c r="A14" s="18">
        <v>1</v>
      </c>
      <c r="B14" s="18">
        <v>1</v>
      </c>
      <c r="C14" s="28" t="s">
        <v>36</v>
      </c>
      <c r="D14" s="18"/>
      <c r="E14" s="18"/>
      <c r="F14" s="18"/>
      <c r="G14" s="18"/>
      <c r="H14" s="18"/>
      <c r="I14" s="19" t="str">
        <f t="shared" si="0"/>
        <v/>
      </c>
      <c r="J14" s="19" t="str">
        <f t="shared" si="1"/>
        <v/>
      </c>
      <c r="K14" s="18"/>
      <c r="L14" s="18"/>
      <c r="M14" s="18"/>
      <c r="N14" s="18"/>
      <c r="O14" s="18"/>
      <c r="P14" s="18"/>
      <c r="Q14" s="19" t="str">
        <f>IFERROR((#REF!-#REF!)/#REF!,"")</f>
        <v/>
      </c>
      <c r="R14" s="34"/>
      <c r="S14" s="34"/>
      <c r="T14" s="34"/>
    </row>
    <row r="15" spans="1:20" x14ac:dyDescent="0.25">
      <c r="A15" s="18">
        <v>1</v>
      </c>
      <c r="B15" s="18">
        <v>1</v>
      </c>
      <c r="C15" s="29" t="s">
        <v>37</v>
      </c>
      <c r="D15" s="18"/>
      <c r="E15" s="18"/>
      <c r="F15" s="18"/>
      <c r="G15" s="18"/>
      <c r="H15" s="18"/>
      <c r="I15" s="19" t="str">
        <f t="shared" si="0"/>
        <v/>
      </c>
      <c r="J15" s="19" t="str">
        <f t="shared" si="1"/>
        <v/>
      </c>
      <c r="K15" s="18"/>
      <c r="L15" s="18"/>
      <c r="M15" s="18"/>
      <c r="N15" s="18"/>
      <c r="O15" s="18"/>
      <c r="P15" s="18"/>
      <c r="Q15" s="19" t="str">
        <f>IFERROR((#REF!-#REF!)/#REF!,"")</f>
        <v/>
      </c>
      <c r="R15" s="34"/>
      <c r="S15" s="34"/>
      <c r="T15" s="34"/>
    </row>
    <row r="16" spans="1:20" x14ac:dyDescent="0.25">
      <c r="A16" s="18">
        <v>1</v>
      </c>
      <c r="B16" s="18">
        <v>1</v>
      </c>
      <c r="C16" s="30" t="s">
        <v>38</v>
      </c>
      <c r="D16" s="18"/>
      <c r="E16" s="18"/>
      <c r="F16" s="18"/>
      <c r="G16" s="18"/>
      <c r="H16" s="18"/>
      <c r="I16" s="19" t="str">
        <f t="shared" si="0"/>
        <v/>
      </c>
      <c r="J16" s="19" t="str">
        <f t="shared" si="1"/>
        <v/>
      </c>
      <c r="K16" s="18"/>
      <c r="L16" s="18"/>
      <c r="M16" s="18"/>
      <c r="N16" s="18"/>
      <c r="O16" s="18"/>
      <c r="P16" s="18"/>
      <c r="Q16" s="19" t="str">
        <f>IFERROR((#REF!-#REF!)/#REF!,"")</f>
        <v/>
      </c>
      <c r="R16" s="34"/>
      <c r="S16" s="34"/>
      <c r="T16" s="34"/>
    </row>
    <row r="17" spans="1:20" x14ac:dyDescent="0.25">
      <c r="A17" s="18">
        <v>1</v>
      </c>
      <c r="B17" s="18">
        <v>1</v>
      </c>
      <c r="C17" s="31" t="s">
        <v>39</v>
      </c>
      <c r="D17" s="18"/>
      <c r="E17" s="18"/>
      <c r="F17" s="18"/>
      <c r="G17" s="18"/>
      <c r="H17" s="18"/>
      <c r="I17" s="19" t="str">
        <f t="shared" si="0"/>
        <v/>
      </c>
      <c r="J17" s="19" t="str">
        <f t="shared" si="1"/>
        <v/>
      </c>
      <c r="K17" s="18"/>
      <c r="L17" s="18"/>
      <c r="M17" s="18"/>
      <c r="N17" s="18"/>
      <c r="O17" s="18"/>
      <c r="P17" s="18"/>
      <c r="Q17" s="19" t="str">
        <f>IFERROR((#REF!-#REF!)/#REF!,"")</f>
        <v/>
      </c>
      <c r="R17" s="34"/>
      <c r="S17" s="34"/>
      <c r="T17" s="34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" t="str">
        <f t="shared" ref="M18:M43" si="3">IFERROR((K18-L18)/J18,"")</f>
        <v/>
      </c>
      <c r="N18" s="1"/>
      <c r="O18" s="1"/>
      <c r="P18" s="1"/>
      <c r="Q18" s="1"/>
      <c r="R18" s="1"/>
      <c r="S18" s="1"/>
      <c r="T18" s="2" t="str">
        <f t="shared" ref="T18:T44" si="4">IFERROR((D18-F18)/D18,"")</f>
        <v/>
      </c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2" t="str">
        <f t="shared" si="3"/>
        <v/>
      </c>
      <c r="N19" s="1"/>
      <c r="O19" s="1"/>
      <c r="P19" s="1"/>
      <c r="Q19" s="1"/>
      <c r="R19" s="1"/>
      <c r="S19" s="1"/>
      <c r="T19" s="2" t="str">
        <f t="shared" si="4"/>
        <v/>
      </c>
    </row>
    <row r="20" spans="1:20" x14ac:dyDescent="0.25">
      <c r="A20" s="5" t="s">
        <v>46</v>
      </c>
      <c r="B20" s="5"/>
      <c r="C20" s="5"/>
      <c r="D20" s="5"/>
      <c r="E20" s="5"/>
      <c r="F20" s="5"/>
      <c r="G20" s="5"/>
      <c r="H20" s="1"/>
      <c r="I20" s="1"/>
      <c r="J20" s="1"/>
      <c r="K20" s="1"/>
      <c r="L20" s="1"/>
      <c r="M20" s="2" t="str">
        <f t="shared" si="3"/>
        <v/>
      </c>
      <c r="N20" s="1"/>
      <c r="O20" s="1"/>
      <c r="P20" s="1"/>
      <c r="Q20" s="1"/>
      <c r="R20" s="1"/>
      <c r="S20" s="1"/>
      <c r="T20" s="2" t="str">
        <f t="shared" si="4"/>
        <v/>
      </c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" t="str">
        <f t="shared" si="3"/>
        <v/>
      </c>
      <c r="N21" s="1"/>
      <c r="O21" s="1"/>
      <c r="P21" s="1"/>
      <c r="Q21" s="1"/>
      <c r="R21" s="1"/>
      <c r="S21" s="1"/>
      <c r="T21" s="2" t="str">
        <f t="shared" si="4"/>
        <v/>
      </c>
    </row>
    <row r="22" spans="1:20" ht="24" x14ac:dyDescent="0.4">
      <c r="A22" s="4" t="s">
        <v>42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1"/>
      <c r="R22" s="1"/>
      <c r="S22" s="1"/>
      <c r="T22" s="2" t="str">
        <f t="shared" si="4"/>
        <v/>
      </c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 t="str">
        <f t="shared" si="3"/>
        <v/>
      </c>
      <c r="N23" s="1"/>
      <c r="O23" s="1"/>
      <c r="P23" s="1"/>
      <c r="Q23" s="1"/>
      <c r="R23" s="1"/>
      <c r="S23" s="1"/>
      <c r="T23" s="2" t="str">
        <f t="shared" si="4"/>
        <v/>
      </c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 t="str">
        <f t="shared" si="3"/>
        <v/>
      </c>
      <c r="N24" s="1"/>
      <c r="O24" s="1"/>
      <c r="P24" s="1"/>
      <c r="Q24" s="1"/>
      <c r="R24" s="1"/>
      <c r="S24" s="1"/>
      <c r="T24" s="2" t="str">
        <f t="shared" si="4"/>
        <v/>
      </c>
    </row>
    <row r="25" spans="1:20" ht="18.75" x14ac:dyDescent="0.3">
      <c r="A25" s="35" t="s">
        <v>40</v>
      </c>
      <c r="B25" s="35"/>
      <c r="C25" s="35"/>
      <c r="D25" s="35"/>
      <c r="E25" s="36"/>
      <c r="F25" s="36"/>
      <c r="G25" s="37"/>
      <c r="H25" s="1"/>
      <c r="I25" s="1"/>
      <c r="J25" s="1"/>
      <c r="K25" s="1"/>
      <c r="L25" s="1"/>
      <c r="M25" s="2" t="str">
        <f t="shared" si="3"/>
        <v/>
      </c>
      <c r="N25" s="1"/>
      <c r="O25" s="1"/>
      <c r="P25" s="1"/>
      <c r="Q25" s="1"/>
      <c r="R25" s="1"/>
      <c r="S25" s="1"/>
      <c r="T25" s="2" t="str">
        <f t="shared" si="4"/>
        <v/>
      </c>
    </row>
    <row r="26" spans="1:20" ht="18.75" x14ac:dyDescent="0.3">
      <c r="A26" s="38" t="s">
        <v>45</v>
      </c>
      <c r="B26" s="38"/>
      <c r="C26" s="38"/>
      <c r="D26" s="38"/>
      <c r="E26" s="38"/>
      <c r="F26" s="38"/>
      <c r="G26" s="37"/>
      <c r="H26" s="1"/>
      <c r="I26" s="1"/>
      <c r="J26" s="1"/>
      <c r="K26" s="1"/>
      <c r="L26" s="1"/>
      <c r="M26" s="2" t="str">
        <f t="shared" si="3"/>
        <v/>
      </c>
      <c r="N26" s="1"/>
      <c r="O26" s="1"/>
      <c r="P26" s="1"/>
      <c r="Q26" s="1"/>
      <c r="R26" s="1"/>
      <c r="S26" s="1"/>
      <c r="T26" s="2" t="str">
        <f t="shared" si="4"/>
        <v/>
      </c>
    </row>
    <row r="27" spans="1:20" ht="18.75" x14ac:dyDescent="0.3">
      <c r="A27" s="38" t="s">
        <v>44</v>
      </c>
      <c r="B27" s="38"/>
      <c r="C27" s="38"/>
      <c r="D27" s="38"/>
      <c r="E27" s="38"/>
      <c r="F27" s="38"/>
      <c r="G27" s="37"/>
      <c r="H27" s="1"/>
      <c r="I27" s="1"/>
      <c r="J27" s="1"/>
      <c r="K27" s="1"/>
      <c r="L27" s="1"/>
      <c r="M27" s="2" t="str">
        <f t="shared" si="3"/>
        <v/>
      </c>
      <c r="N27" s="1"/>
      <c r="O27" s="1"/>
      <c r="P27" s="1"/>
      <c r="Q27" s="1"/>
      <c r="R27" s="1"/>
      <c r="S27" s="1"/>
      <c r="T27" s="2" t="str">
        <f t="shared" si="4"/>
        <v/>
      </c>
    </row>
    <row r="28" spans="1:2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 t="str">
        <f t="shared" si="3"/>
        <v/>
      </c>
      <c r="N28" s="1"/>
      <c r="O28" s="1"/>
      <c r="P28" s="1"/>
      <c r="Q28" s="1"/>
      <c r="R28" s="1"/>
      <c r="S28" s="1"/>
      <c r="T28" s="2" t="str">
        <f t="shared" si="4"/>
        <v/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 t="str">
        <f t="shared" si="3"/>
        <v/>
      </c>
      <c r="N29" s="1"/>
      <c r="O29" s="1"/>
      <c r="P29" s="1"/>
      <c r="Q29" s="1"/>
      <c r="R29" s="1"/>
      <c r="S29" s="1"/>
      <c r="T29" s="2" t="str">
        <f t="shared" si="4"/>
        <v/>
      </c>
    </row>
    <row r="30" spans="1:2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tr">
        <f t="shared" si="3"/>
        <v/>
      </c>
      <c r="N30" s="1"/>
      <c r="O30" s="1"/>
      <c r="P30" s="1"/>
      <c r="Q30" s="1"/>
      <c r="R30" s="1"/>
      <c r="S30" s="1"/>
      <c r="T30" s="2" t="str">
        <f t="shared" si="4"/>
        <v/>
      </c>
    </row>
    <row r="31" spans="1:2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 t="str">
        <f t="shared" si="3"/>
        <v/>
      </c>
      <c r="N31" s="1"/>
      <c r="O31" s="1"/>
      <c r="P31" s="1"/>
      <c r="Q31" s="1"/>
      <c r="R31" s="1"/>
      <c r="S31" s="1"/>
      <c r="T31" s="2" t="str">
        <f t="shared" si="4"/>
        <v/>
      </c>
    </row>
    <row r="32" spans="1:2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" t="str">
        <f t="shared" si="3"/>
        <v/>
      </c>
      <c r="N32" s="1"/>
      <c r="O32" s="1"/>
      <c r="P32" s="1"/>
      <c r="Q32" s="1"/>
      <c r="R32" s="1"/>
      <c r="S32" s="1"/>
      <c r="T32" s="2" t="str">
        <f t="shared" si="4"/>
        <v/>
      </c>
    </row>
    <row r="33" spans="1:2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 t="str">
        <f t="shared" si="3"/>
        <v/>
      </c>
      <c r="N33" s="1"/>
      <c r="O33" s="1"/>
      <c r="P33" s="1"/>
      <c r="Q33" s="1"/>
      <c r="R33" s="1"/>
      <c r="S33" s="1"/>
      <c r="T33" s="2" t="str">
        <f t="shared" si="4"/>
        <v/>
      </c>
    </row>
    <row r="34" spans="1:2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 t="str">
        <f t="shared" si="3"/>
        <v/>
      </c>
      <c r="N34" s="1"/>
      <c r="O34" s="1"/>
      <c r="P34" s="1"/>
      <c r="Q34" s="1"/>
      <c r="R34" s="1"/>
      <c r="S34" s="1"/>
      <c r="T34" s="2" t="str">
        <f t="shared" si="4"/>
        <v/>
      </c>
    </row>
    <row r="35" spans="1:2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 t="str">
        <f t="shared" si="3"/>
        <v/>
      </c>
      <c r="N35" s="1"/>
      <c r="O35" s="1"/>
      <c r="P35" s="1"/>
      <c r="Q35" s="1"/>
      <c r="R35" s="1"/>
      <c r="S35" s="1"/>
      <c r="T35" s="2" t="str">
        <f t="shared" si="4"/>
        <v/>
      </c>
    </row>
    <row r="36" spans="1:2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 t="str">
        <f t="shared" si="3"/>
        <v/>
      </c>
      <c r="N36" s="1"/>
      <c r="O36" s="1"/>
      <c r="P36" s="1"/>
      <c r="Q36" s="1"/>
      <c r="R36" s="1"/>
      <c r="S36" s="1"/>
      <c r="T36" s="2" t="str">
        <f t="shared" si="4"/>
        <v/>
      </c>
    </row>
    <row r="37" spans="1:2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 t="str">
        <f t="shared" si="3"/>
        <v/>
      </c>
      <c r="N37" s="1"/>
      <c r="O37" s="1"/>
      <c r="P37" s="1"/>
      <c r="Q37" s="1"/>
      <c r="R37" s="1"/>
      <c r="S37" s="1"/>
      <c r="T37" s="2" t="str">
        <f t="shared" si="4"/>
        <v/>
      </c>
    </row>
    <row r="38" spans="1:2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 t="str">
        <f t="shared" si="3"/>
        <v/>
      </c>
      <c r="N38" s="1"/>
      <c r="O38" s="1"/>
      <c r="P38" s="1"/>
      <c r="Q38" s="1"/>
      <c r="R38" s="1"/>
      <c r="S38" s="1"/>
      <c r="T38" s="2" t="str">
        <f t="shared" si="4"/>
        <v/>
      </c>
    </row>
    <row r="39" spans="1:2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 t="str">
        <f t="shared" si="3"/>
        <v/>
      </c>
      <c r="N39" s="1"/>
      <c r="O39" s="1"/>
      <c r="P39" s="1"/>
      <c r="Q39" s="1"/>
      <c r="R39" s="1"/>
      <c r="S39" s="1"/>
      <c r="T39" s="2" t="str">
        <f t="shared" si="4"/>
        <v/>
      </c>
    </row>
    <row r="40" spans="1:2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 t="str">
        <f t="shared" si="3"/>
        <v/>
      </c>
      <c r="N40" s="1"/>
      <c r="O40" s="1"/>
      <c r="P40" s="1"/>
      <c r="Q40" s="1"/>
      <c r="R40" s="1"/>
      <c r="S40" s="1"/>
      <c r="T40" s="2" t="str">
        <f t="shared" si="4"/>
        <v/>
      </c>
    </row>
    <row r="41" spans="1:2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 t="str">
        <f t="shared" si="3"/>
        <v/>
      </c>
      <c r="N41" s="1"/>
      <c r="O41" s="1"/>
      <c r="P41" s="1"/>
      <c r="Q41" s="1"/>
      <c r="R41" s="1"/>
      <c r="S41" s="1"/>
      <c r="T41" s="2" t="str">
        <f t="shared" si="4"/>
        <v/>
      </c>
    </row>
    <row r="42" spans="1:2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 t="str">
        <f t="shared" si="3"/>
        <v/>
      </c>
      <c r="N42" s="1"/>
      <c r="O42" s="1"/>
      <c r="P42" s="1"/>
      <c r="Q42" s="1"/>
      <c r="R42" s="1"/>
      <c r="S42" s="1"/>
      <c r="T42" s="2" t="str">
        <f t="shared" si="4"/>
        <v/>
      </c>
    </row>
    <row r="43" spans="1:2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 t="str">
        <f t="shared" si="3"/>
        <v/>
      </c>
      <c r="N43" s="1"/>
      <c r="O43" s="1"/>
      <c r="P43" s="1"/>
      <c r="Q43" s="1"/>
      <c r="R43" s="1"/>
      <c r="S43" s="1"/>
      <c r="T43" s="2" t="str">
        <f t="shared" si="4"/>
        <v/>
      </c>
    </row>
    <row r="44" spans="1:20" x14ac:dyDescent="0.25">
      <c r="M44" s="2" t="str">
        <f>IFERROR((K44-L44)/J44,"")</f>
        <v/>
      </c>
      <c r="N44" s="1"/>
      <c r="O44" s="1"/>
      <c r="P44" s="1"/>
      <c r="Q44" s="1"/>
      <c r="R44" s="1"/>
      <c r="S44" s="1"/>
      <c r="T44" s="2" t="str">
        <f t="shared" si="4"/>
        <v/>
      </c>
    </row>
  </sheetData>
  <mergeCells count="2">
    <mergeCell ref="A22:P22"/>
    <mergeCell ref="A20:G2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C90D-D633-4E6B-8BA0-10DD8E1C0AD9}">
  <dimension ref="A1:H17"/>
  <sheetViews>
    <sheetView tabSelected="1" workbookViewId="0">
      <selection activeCell="M14" sqref="M14"/>
    </sheetView>
  </sheetViews>
  <sheetFormatPr defaultRowHeight="15" x14ac:dyDescent="0.25"/>
  <cols>
    <col min="1" max="1" width="17.28515625" style="1" customWidth="1"/>
    <col min="2" max="2" width="9.7109375" style="1" bestFit="1" customWidth="1"/>
    <col min="3" max="3" width="10.140625" style="1" bestFit="1" customWidth="1"/>
    <col min="4" max="4" width="9.85546875" style="1" bestFit="1" customWidth="1"/>
    <col min="5" max="5" width="11.7109375" style="1" bestFit="1" customWidth="1"/>
    <col min="6" max="6" width="15.28515625" style="1" bestFit="1" customWidth="1"/>
    <col min="7" max="7" width="19.5703125" style="1" bestFit="1" customWidth="1"/>
    <col min="8" max="8" width="19.42578125" style="1" bestFit="1" customWidth="1"/>
    <col min="9" max="16384" width="9.140625" style="1"/>
  </cols>
  <sheetData>
    <row r="1" spans="1:8" ht="21.75" thickBot="1" x14ac:dyDescent="0.4">
      <c r="A1" s="8" t="s">
        <v>47</v>
      </c>
      <c r="B1" s="8"/>
      <c r="C1" s="9"/>
      <c r="D1" s="39"/>
      <c r="E1" s="39"/>
    </row>
    <row r="2" spans="1:8" x14ac:dyDescent="0.25">
      <c r="A2" s="16" t="s">
        <v>2</v>
      </c>
      <c r="B2" s="10" t="s">
        <v>25</v>
      </c>
      <c r="C2" s="11" t="s">
        <v>26</v>
      </c>
      <c r="D2" s="10" t="s">
        <v>27</v>
      </c>
      <c r="E2" s="10" t="s">
        <v>28</v>
      </c>
      <c r="F2" s="10" t="s">
        <v>30</v>
      </c>
      <c r="G2" s="12" t="s">
        <v>43</v>
      </c>
      <c r="H2" s="13" t="s">
        <v>29</v>
      </c>
    </row>
    <row r="3" spans="1:8" s="6" customFormat="1" x14ac:dyDescent="0.25">
      <c r="A3" s="17" t="s">
        <v>21</v>
      </c>
      <c r="B3" s="14">
        <f>SUMIF('Stats Input'!C:C,A3,'Stats Input'!K:K)</f>
        <v>8</v>
      </c>
      <c r="C3" s="14">
        <f>SUMIF('Stats Input'!C:C,A3,'Stats Input'!E:E)</f>
        <v>1</v>
      </c>
      <c r="D3" s="14">
        <f>SUMIF('Stats Input'!C:C,A3,'Stats Input'!S:S)</f>
        <v>2</v>
      </c>
      <c r="E3" s="14">
        <f>SUMIF('Stats Input'!C:C,A3,'Stats Input'!Q:Q)</f>
        <v>4</v>
      </c>
      <c r="F3" s="15">
        <f>IFERROR(AVERAGEIF('Stats Input'!C:C,A3,'Stats Input'!M:M),"")</f>
        <v>0.4</v>
      </c>
      <c r="G3" s="15">
        <f>IFERROR(AVERAGEIF('Stats Input'!C:C,A3,'Stats Input'!I:I),"")</f>
        <v>0.7</v>
      </c>
      <c r="H3" s="15">
        <f>IFERROR(AVERAGEIF('Stats Input'!C:C,A3,'Stats Input'!T:T),"")</f>
        <v>1</v>
      </c>
    </row>
    <row r="4" spans="1:8" x14ac:dyDescent="0.25">
      <c r="A4" s="7" t="s">
        <v>19</v>
      </c>
      <c r="B4" s="18">
        <f>SUMIF('Stats Input'!C:C,A4,'Stats Input'!K:K)</f>
        <v>4</v>
      </c>
      <c r="C4" s="18">
        <f>SUMIF('Stats Input'!C:C,A4,'Stats Input'!E:E)</f>
        <v>1</v>
      </c>
      <c r="D4" s="18">
        <f>SUMIF('Stats Input'!C:C,A4,'Stats Input'!S:S)</f>
        <v>4</v>
      </c>
      <c r="E4" s="18">
        <f>SUMIF('Stats Input'!C:C,A4,'Stats Input'!Q:Q)</f>
        <v>3</v>
      </c>
      <c r="F4" s="19">
        <f>IFERROR(AVERAGEIF('Stats Input'!C:C,A4,'Stats Input'!M:M),"")</f>
        <v>0.1</v>
      </c>
      <c r="G4" s="19">
        <f>IFERROR(AVERAGEIF('Stats Input'!C:C,A4,'Stats Input'!I:I),"")</f>
        <v>0.625</v>
      </c>
      <c r="H4" s="19">
        <f>IFERROR(AVERAGEIF('Stats Input'!C:C,A4,'Stats Input'!T:T),"")</f>
        <v>1</v>
      </c>
    </row>
    <row r="5" spans="1:8" x14ac:dyDescent="0.25">
      <c r="A5" s="3" t="s">
        <v>20</v>
      </c>
      <c r="B5" s="18">
        <f>SUMIF('Stats Input'!C:C,A5,'Stats Input'!K:K)</f>
        <v>12</v>
      </c>
      <c r="C5" s="18">
        <f>SUMIF('Stats Input'!C:C,A5,'Stats Input'!E:E)</f>
        <v>1</v>
      </c>
      <c r="D5" s="18">
        <f>SUMIF('Stats Input'!C:C,A5,'Stats Input'!S:S)</f>
        <v>2</v>
      </c>
      <c r="E5" s="18">
        <f>SUMIF('Stats Input'!C:C,A5,'Stats Input'!Q:Q)</f>
        <v>1</v>
      </c>
      <c r="F5" s="19">
        <f>IFERROR(AVERAGEIF('Stats Input'!C:C,A5,'Stats Input'!M:M),"")</f>
        <v>0.5</v>
      </c>
      <c r="G5" s="19">
        <f>IFERROR(AVERAGEIF('Stats Input'!C:C,A5,'Stats Input'!I:I),"")</f>
        <v>0.75</v>
      </c>
      <c r="H5" s="19">
        <f>IFERROR(AVERAGEIF('Stats Input'!C:C,A5,'Stats Input'!T:T),"")</f>
        <v>1</v>
      </c>
    </row>
    <row r="6" spans="1:8" x14ac:dyDescent="0.25">
      <c r="A6" s="20" t="s">
        <v>22</v>
      </c>
      <c r="B6" s="18">
        <f>SUMIF('Stats Input'!C:C,A6,'Stats Input'!K:K)</f>
        <v>3</v>
      </c>
      <c r="C6" s="18">
        <f>SUMIF('Stats Input'!C:C,A6,'Stats Input'!E:E)</f>
        <v>1</v>
      </c>
      <c r="D6" s="18">
        <f>SUMIF('Stats Input'!C:C,A6,'Stats Input'!S:S)</f>
        <v>1</v>
      </c>
      <c r="E6" s="18">
        <f>SUMIF('Stats Input'!C:C,A6,'Stats Input'!Q:Q)</f>
        <v>1</v>
      </c>
      <c r="F6" s="19">
        <f>IFERROR(AVERAGEIF('Stats Input'!C:C,A6,'Stats Input'!M:M),"")</f>
        <v>0.25</v>
      </c>
      <c r="G6" s="19">
        <f>IFERROR(AVERAGEIF('Stats Input'!C:C,A6,'Stats Input'!I:I),"")</f>
        <v>0.5</v>
      </c>
      <c r="H6" s="19">
        <f>IFERROR(AVERAGEIF('Stats Input'!C:C,A6,'Stats Input'!T:T),"")</f>
        <v>1</v>
      </c>
    </row>
    <row r="7" spans="1:8" x14ac:dyDescent="0.25">
      <c r="A7" s="21" t="s">
        <v>23</v>
      </c>
      <c r="B7" s="18">
        <f>SUMIF('Stats Input'!C:C,A7,'Stats Input'!K:K)</f>
        <v>6</v>
      </c>
      <c r="C7" s="18">
        <f>SUMIF('Stats Input'!C:C,A7,'Stats Input'!E:E)</f>
        <v>1</v>
      </c>
      <c r="D7" s="18">
        <f>SUMIF('Stats Input'!C:C,A7,'Stats Input'!S:S)</f>
        <v>5</v>
      </c>
      <c r="E7" s="18">
        <f>SUMIF('Stats Input'!C:C,A7,'Stats Input'!Q:Q)</f>
        <v>1</v>
      </c>
      <c r="F7" s="19">
        <f>IFERROR(AVERAGEIF('Stats Input'!C:C,A7,'Stats Input'!M:M),"")</f>
        <v>0.33333333333333331</v>
      </c>
      <c r="G7" s="19">
        <f>IFERROR(AVERAGEIF('Stats Input'!C:C,A7,'Stats Input'!I:I),"")</f>
        <v>0.66666666666666663</v>
      </c>
      <c r="H7" s="19">
        <f>IFERROR(AVERAGEIF('Stats Input'!C:C,A7,'Stats Input'!T:T),"")</f>
        <v>1</v>
      </c>
    </row>
    <row r="8" spans="1:8" x14ac:dyDescent="0.25">
      <c r="A8" s="22" t="s">
        <v>24</v>
      </c>
      <c r="B8" s="18">
        <f>SUMIF('Stats Input'!C:C,A8,'Stats Input'!K:K)</f>
        <v>4</v>
      </c>
      <c r="C8" s="18">
        <f>SUMIF('Stats Input'!C:C,A8,'Stats Input'!E:E)</f>
        <v>1</v>
      </c>
      <c r="D8" s="18">
        <f>SUMIF('Stats Input'!C:C,A8,'Stats Input'!S:S)</f>
        <v>2</v>
      </c>
      <c r="E8" s="18">
        <f>SUMIF('Stats Input'!C:C,A8,'Stats Input'!Q:Q)</f>
        <v>2</v>
      </c>
      <c r="F8" s="19">
        <f>IFERROR(AVERAGEIF('Stats Input'!C:C,A8,'Stats Input'!M:M),"")</f>
        <v>0.1</v>
      </c>
      <c r="G8" s="19">
        <f>IFERROR(AVERAGEIF('Stats Input'!C:C,A8,'Stats Input'!I:I),"")</f>
        <v>0.5714285714285714</v>
      </c>
      <c r="H8" s="19">
        <f>IFERROR(AVERAGEIF('Stats Input'!C:C,A8,'Stats Input'!T:T),"")</f>
        <v>1</v>
      </c>
    </row>
    <row r="9" spans="1:8" x14ac:dyDescent="0.25">
      <c r="A9" s="23" t="s">
        <v>31</v>
      </c>
      <c r="B9" s="18">
        <f>SUMIF('Stats Input'!C:C,A9,'Stats Input'!K:K)</f>
        <v>0</v>
      </c>
      <c r="C9" s="18">
        <f>SUMIF('Stats Input'!C:C,A9,'Stats Input'!E:E)</f>
        <v>0</v>
      </c>
      <c r="D9" s="18">
        <f>SUMIF('Stats Input'!C:C,A9,'Stats Input'!S:S)</f>
        <v>0</v>
      </c>
      <c r="E9" s="18">
        <f>SUMIF('Stats Input'!C:C,A9,'Stats Input'!Q:Q)</f>
        <v>0</v>
      </c>
      <c r="F9" s="19" t="str">
        <f>IFERROR(AVERAGEIF('Stats Input'!C:C,A9,'Stats Input'!M:M),"")</f>
        <v/>
      </c>
      <c r="G9" s="19" t="str">
        <f>IFERROR(AVERAGEIF('Stats Input'!C:C,A9,'Stats Input'!I:I),"")</f>
        <v/>
      </c>
      <c r="H9" s="19" t="str">
        <f>IFERROR(AVERAGEIF('Stats Input'!C:C,A9,'Stats Input'!T:T),"")</f>
        <v/>
      </c>
    </row>
    <row r="10" spans="1:8" x14ac:dyDescent="0.25">
      <c r="A10" s="24" t="s">
        <v>32</v>
      </c>
      <c r="B10" s="18">
        <f>SUMIF('Stats Input'!C:C,A10,'Stats Input'!K:K)</f>
        <v>0</v>
      </c>
      <c r="C10" s="18">
        <f>SUMIF('Stats Input'!C:C,A10,'Stats Input'!E:E)</f>
        <v>0</v>
      </c>
      <c r="D10" s="18">
        <f>SUMIF('Stats Input'!C:C,A10,'Stats Input'!S:S)</f>
        <v>0</v>
      </c>
      <c r="E10" s="18">
        <f>SUMIF('Stats Input'!C:C,A10,'Stats Input'!Q:Q)</f>
        <v>0</v>
      </c>
      <c r="F10" s="19" t="str">
        <f>IFERROR(AVERAGEIF('Stats Input'!C:C,A10,'Stats Input'!M:M),"")</f>
        <v/>
      </c>
      <c r="G10" s="19" t="str">
        <f>IFERROR(AVERAGEIF('Stats Input'!C:C,A10,'Stats Input'!I:I),"")</f>
        <v/>
      </c>
      <c r="H10" s="19" t="str">
        <f>IFERROR(AVERAGEIF('Stats Input'!C:C,A10,'Stats Input'!T:T),"")</f>
        <v/>
      </c>
    </row>
    <row r="11" spans="1:8" x14ac:dyDescent="0.25">
      <c r="A11" s="25" t="s">
        <v>33</v>
      </c>
      <c r="B11" s="18">
        <f>SUMIF('Stats Input'!C:C,A11,'Stats Input'!K:K)</f>
        <v>0</v>
      </c>
      <c r="C11" s="18">
        <f>SUMIF('Stats Input'!C:C,A11,'Stats Input'!E:E)</f>
        <v>0</v>
      </c>
      <c r="D11" s="18">
        <f>SUMIF('Stats Input'!C:C,A11,'Stats Input'!S:S)</f>
        <v>0</v>
      </c>
      <c r="E11" s="18">
        <f>SUMIF('Stats Input'!C:C,A11,'Stats Input'!Q:Q)</f>
        <v>0</v>
      </c>
      <c r="F11" s="19" t="str">
        <f>IFERROR(AVERAGEIF('Stats Input'!C:C,A11,'Stats Input'!M:M),"")</f>
        <v/>
      </c>
      <c r="G11" s="19" t="str">
        <f>IFERROR(AVERAGEIF('Stats Input'!C:C,A11,'Stats Input'!I:I),"")</f>
        <v/>
      </c>
      <c r="H11" s="19" t="str">
        <f>IFERROR(AVERAGEIF('Stats Input'!C:C,A11,'Stats Input'!T:T),"")</f>
        <v/>
      </c>
    </row>
    <row r="12" spans="1:8" x14ac:dyDescent="0.25">
      <c r="A12" s="26" t="s">
        <v>34</v>
      </c>
      <c r="B12" s="18">
        <f>SUMIF('Stats Input'!C:C,A12,'Stats Input'!K:K)</f>
        <v>0</v>
      </c>
      <c r="C12" s="18">
        <f>SUMIF('Stats Input'!C:C,A12,'Stats Input'!E:E)</f>
        <v>0</v>
      </c>
      <c r="D12" s="18">
        <f>SUMIF('Stats Input'!C:C,A12,'Stats Input'!S:S)</f>
        <v>0</v>
      </c>
      <c r="E12" s="18">
        <f>SUMIF('Stats Input'!C:C,A12,'Stats Input'!Q:Q)</f>
        <v>0</v>
      </c>
      <c r="F12" s="19" t="str">
        <f>IFERROR(AVERAGEIF('Stats Input'!C:C,A12,'Stats Input'!M:M),"")</f>
        <v/>
      </c>
      <c r="G12" s="19" t="str">
        <f>IFERROR(AVERAGEIF('Stats Input'!C:C,A12,'Stats Input'!I:I),"")</f>
        <v/>
      </c>
      <c r="H12" s="19" t="str">
        <f>IFERROR(AVERAGEIF('Stats Input'!C:C,A12,'Stats Input'!T:T),"")</f>
        <v/>
      </c>
    </row>
    <row r="13" spans="1:8" x14ac:dyDescent="0.25">
      <c r="A13" s="27" t="s">
        <v>35</v>
      </c>
      <c r="B13" s="18">
        <f>SUMIF('Stats Input'!C:C,A13,'Stats Input'!K:K)</f>
        <v>0</v>
      </c>
      <c r="C13" s="18">
        <f>SUMIF('Stats Input'!C:C,A13,'Stats Input'!E:E)</f>
        <v>0</v>
      </c>
      <c r="D13" s="18">
        <f>SUMIF('Stats Input'!C:C,A13,'Stats Input'!S:S)</f>
        <v>0</v>
      </c>
      <c r="E13" s="18">
        <f>SUMIF('Stats Input'!C:C,A13,'Stats Input'!Q:Q)</f>
        <v>0</v>
      </c>
      <c r="F13" s="19" t="str">
        <f>IFERROR(AVERAGEIF('Stats Input'!C:C,A13,'Stats Input'!M:M),"")</f>
        <v/>
      </c>
      <c r="G13" s="19" t="str">
        <f>IFERROR(AVERAGEIF('Stats Input'!C:C,A13,'Stats Input'!I:I),"")</f>
        <v/>
      </c>
      <c r="H13" s="19" t="str">
        <f>IFERROR(AVERAGEIF('Stats Input'!C:C,A13,'Stats Input'!T:T),"")</f>
        <v/>
      </c>
    </row>
    <row r="14" spans="1:8" x14ac:dyDescent="0.25">
      <c r="A14" s="28" t="s">
        <v>36</v>
      </c>
      <c r="B14" s="18">
        <f>SUMIF('Stats Input'!C:C,A14,'Stats Input'!K:K)</f>
        <v>0</v>
      </c>
      <c r="C14" s="18">
        <f>SUMIF('Stats Input'!C:C,A14,'Stats Input'!E:E)</f>
        <v>0</v>
      </c>
      <c r="D14" s="18">
        <f>SUMIF('Stats Input'!C:C,A14,'Stats Input'!S:S)</f>
        <v>0</v>
      </c>
      <c r="E14" s="18">
        <f>SUMIF('Stats Input'!C:C,A14,'Stats Input'!Q:Q)</f>
        <v>0</v>
      </c>
      <c r="F14" s="19" t="str">
        <f>IFERROR(AVERAGEIF('Stats Input'!C:C,A14,'Stats Input'!M:M),"")</f>
        <v/>
      </c>
      <c r="G14" s="19" t="str">
        <f>IFERROR(AVERAGEIF('Stats Input'!C:C,A14,'Stats Input'!I:I),"")</f>
        <v/>
      </c>
      <c r="H14" s="19" t="str">
        <f>IFERROR(AVERAGEIF('Stats Input'!C:C,A14,'Stats Input'!T:T),"")</f>
        <v/>
      </c>
    </row>
    <row r="15" spans="1:8" x14ac:dyDescent="0.25">
      <c r="A15" s="29" t="s">
        <v>37</v>
      </c>
      <c r="B15" s="18">
        <f>SUMIF('Stats Input'!C:C,A15,'Stats Input'!K:K)</f>
        <v>0</v>
      </c>
      <c r="C15" s="18">
        <f>SUMIF('Stats Input'!C:C,A15,'Stats Input'!E:E)</f>
        <v>0</v>
      </c>
      <c r="D15" s="18">
        <f>SUMIF('Stats Input'!C:C,A15,'Stats Input'!S:S)</f>
        <v>0</v>
      </c>
      <c r="E15" s="18">
        <f>SUMIF('Stats Input'!C:C,A15,'Stats Input'!Q:Q)</f>
        <v>0</v>
      </c>
      <c r="F15" s="19" t="str">
        <f>IFERROR(AVERAGEIF('Stats Input'!C:C,A15,'Stats Input'!M:M),"")</f>
        <v/>
      </c>
      <c r="G15" s="19" t="str">
        <f>IFERROR(AVERAGEIF('Stats Input'!C:C,A15,'Stats Input'!I:I),"")</f>
        <v/>
      </c>
      <c r="H15" s="19" t="str">
        <f>IFERROR(AVERAGEIF('Stats Input'!C:C,A15,'Stats Input'!T:T),"")</f>
        <v/>
      </c>
    </row>
    <row r="16" spans="1:8" x14ac:dyDescent="0.25">
      <c r="A16" s="30" t="s">
        <v>38</v>
      </c>
      <c r="B16" s="18">
        <f>SUMIF('Stats Input'!C:C,A16,'Stats Input'!K:K)</f>
        <v>0</v>
      </c>
      <c r="C16" s="18">
        <f>SUMIF('Stats Input'!C:C,A16,'Stats Input'!E:E)</f>
        <v>0</v>
      </c>
      <c r="D16" s="18">
        <f>SUMIF('Stats Input'!C:C,A16,'Stats Input'!S:S)</f>
        <v>0</v>
      </c>
      <c r="E16" s="18">
        <f>SUMIF('Stats Input'!C:C,A16,'Stats Input'!Q:Q)</f>
        <v>0</v>
      </c>
      <c r="F16" s="19" t="str">
        <f>IFERROR(AVERAGEIF('Stats Input'!C:C,A16,'Stats Input'!M:M),"")</f>
        <v/>
      </c>
      <c r="G16" s="19" t="str">
        <f>IFERROR(AVERAGEIF('Stats Input'!C:C,A16,'Stats Input'!I:I),"")</f>
        <v/>
      </c>
      <c r="H16" s="19" t="str">
        <f>IFERROR(AVERAGEIF('Stats Input'!C:C,A16,'Stats Input'!T:T),"")</f>
        <v/>
      </c>
    </row>
    <row r="17" spans="1:8" x14ac:dyDescent="0.25">
      <c r="A17" s="31" t="s">
        <v>39</v>
      </c>
      <c r="B17" s="18">
        <f>SUMIF('Stats Input'!C:C,A17,'Stats Input'!K:K)</f>
        <v>0</v>
      </c>
      <c r="C17" s="18">
        <f>SUMIF('Stats Input'!C:C,A17,'Stats Input'!E:E)</f>
        <v>0</v>
      </c>
      <c r="D17" s="18">
        <f>SUMIF('Stats Input'!C:C,A17,'Stats Input'!S:S)</f>
        <v>0</v>
      </c>
      <c r="E17" s="18">
        <f>SUMIF('Stats Input'!C:C,A17,'Stats Input'!Q:Q)</f>
        <v>0</v>
      </c>
      <c r="F17" s="19" t="str">
        <f>IFERROR(AVERAGEIF('Stats Input'!C:C,A17,'Stats Input'!M:M),"")</f>
        <v/>
      </c>
      <c r="G17" s="19" t="str">
        <f>IFERROR(AVERAGEIF('Stats Input'!C:C,A17,'Stats Input'!I:I),"")</f>
        <v/>
      </c>
      <c r="H17" s="19" t="str">
        <f>IFERROR(AVERAGEIF('Stats Input'!C:C,A17,'Stats Input'!T:T),"")</f>
        <v/>
      </c>
    </row>
  </sheetData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33d97-f83f-43f0-8e2a-d0a9ba967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5EFA3785FC50438A5CE0467113ADF5" ma:contentTypeVersion="9" ma:contentTypeDescription="Create a new document." ma:contentTypeScope="" ma:versionID="90459484c5ecea271f795edcda91be10">
  <xsd:schema xmlns:xsd="http://www.w3.org/2001/XMLSchema" xmlns:xs="http://www.w3.org/2001/XMLSchema" xmlns:p="http://schemas.microsoft.com/office/2006/metadata/properties" xmlns:ns3="28333d97-f83f-43f0-8e2a-d0a9ba9678ac" xmlns:ns4="6c122e25-6aea-44cb-9533-f337dbfc1912" targetNamespace="http://schemas.microsoft.com/office/2006/metadata/properties" ma:root="true" ma:fieldsID="173b1fa334b8f170c10e6b3a78aefe1e" ns3:_="" ns4:_="">
    <xsd:import namespace="28333d97-f83f-43f0-8e2a-d0a9ba9678ac"/>
    <xsd:import namespace="6c122e25-6aea-44cb-9533-f337dbfc19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33d97-f83f-43f0-8e2a-d0a9ba967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122e25-6aea-44cb-9533-f337dbfc191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BD5751-A13A-4CD4-99DE-68D2814382F9}">
  <ds:schemaRefs>
    <ds:schemaRef ds:uri="6c122e25-6aea-44cb-9533-f337dbfc1912"/>
    <ds:schemaRef ds:uri="http://purl.org/dc/dcmitype/"/>
    <ds:schemaRef ds:uri="http://schemas.microsoft.com/office/2006/metadata/properties"/>
    <ds:schemaRef ds:uri="28333d97-f83f-43f0-8e2a-d0a9ba9678ac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471DEA2-42BF-4E55-B06F-01D95DE447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83D1AD-C507-4B7B-A995-B39B07B18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333d97-f83f-43f0-8e2a-d0a9ba9678ac"/>
    <ds:schemaRef ds:uri="6c122e25-6aea-44cb-9533-f337dbfc1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 Input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Triet M Nguyen</dc:creator>
  <cp:lastModifiedBy>Triet M Nguyen</cp:lastModifiedBy>
  <dcterms:created xsi:type="dcterms:W3CDTF">2026-04-27T03:39:57Z</dcterms:created>
  <dcterms:modified xsi:type="dcterms:W3CDTF">2026-04-27T04:50:32Z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0x010100645EFA3785FC50438A5CE0467113ADF5</vt:lpwstr>
  </property>
</Properties>
</file>